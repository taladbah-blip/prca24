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CA-24" sheetId="1" state="visible" r:id="rId1"/>
  </sheets>
  <definedNames>
    <definedName name="_xlnm.Print_Titles" localSheetId="0">'PRCA-24'!$1:$6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FFFFFF"/>
      <sz val="10"/>
    </font>
    <font>
      <name val="Calibri"/>
      <b val="1"/>
      <color rgb="00007064"/>
      <sz val="11"/>
    </font>
    <font>
      <name val="Calibri"/>
      <color rgb="007B5000"/>
      <sz val="10"/>
    </font>
    <font>
      <name val="Calibri"/>
      <b val="1"/>
      <color rgb="00005048"/>
      <sz val="10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color rgb="001E1E1E"/>
      <sz val="11"/>
    </font>
    <font>
      <name val="Calibri"/>
      <b val="1"/>
      <color rgb="00007064"/>
      <sz val="13"/>
    </font>
    <font>
      <name val="Calibri"/>
      <b val="1"/>
      <color rgb="00FFFFFF"/>
      <sz val="14"/>
    </font>
    <font>
      <name val="Calibri"/>
      <b val="1"/>
      <color rgb="00004D40"/>
      <sz val="13"/>
    </font>
    <font>
      <name val="Calibri"/>
      <b val="1"/>
      <color rgb="001B5E20"/>
      <sz val="13"/>
    </font>
    <font>
      <name val="Calibri"/>
      <b val="1"/>
      <color rgb="001A237E"/>
      <sz val="13"/>
    </font>
    <font>
      <name val="Calibri"/>
      <b val="1"/>
      <color rgb="004A148C"/>
      <sz val="13"/>
    </font>
    <font>
      <name val="Calibri"/>
      <b val="1"/>
      <color rgb="00FFFFFF"/>
      <sz val="16"/>
    </font>
    <font>
      <name val="Calibri"/>
      <b val="1"/>
      <color rgb="00005048"/>
      <sz val="14"/>
    </font>
    <font>
      <name val="Calibri"/>
      <b val="1"/>
      <color rgb="00FFFFFF"/>
      <sz val="10"/>
    </font>
    <font>
      <name val="Calibri"/>
      <b val="1"/>
      <color rgb="007B5200"/>
      <sz val="10"/>
    </font>
    <font>
      <name val="Calibri"/>
      <b val="1"/>
      <color rgb="008B0000"/>
      <sz val="10"/>
    </font>
    <font>
      <name val="Calibri"/>
      <i val="1"/>
      <color rgb="00888888"/>
      <sz val="8"/>
    </font>
  </fonts>
  <fills count="21">
    <fill>
      <patternFill/>
    </fill>
    <fill>
      <patternFill patternType="gray125"/>
    </fill>
    <fill>
      <patternFill patternType="solid">
        <fgColor rgb="00007064"/>
      </patternFill>
    </fill>
    <fill>
      <patternFill patternType="solid">
        <fgColor rgb="00005048"/>
      </patternFill>
    </fill>
    <fill>
      <patternFill patternType="solid">
        <fgColor rgb="00E8F5F3"/>
      </patternFill>
    </fill>
    <fill>
      <patternFill patternType="solid">
        <fgColor rgb="00FFF3CD"/>
      </patternFill>
    </fill>
    <fill>
      <patternFill patternType="solid">
        <fgColor rgb="00008C7E"/>
      </patternFill>
    </fill>
    <fill>
      <patternFill patternType="solid">
        <fgColor rgb="00004D40"/>
      </patternFill>
    </fill>
    <fill>
      <patternFill patternType="solid">
        <fgColor rgb="00FFFFFF"/>
      </patternFill>
    </fill>
    <fill>
      <patternFill patternType="solid">
        <fgColor rgb="00FFFDE7"/>
      </patternFill>
    </fill>
    <fill>
      <patternFill patternType="solid">
        <fgColor rgb="00CCF0EA"/>
      </patternFill>
    </fill>
    <fill>
      <patternFill patternType="solid">
        <fgColor rgb="001B5E20"/>
      </patternFill>
    </fill>
    <fill>
      <patternFill patternType="solid">
        <fgColor rgb="00E8F5E9"/>
      </patternFill>
    </fill>
    <fill>
      <patternFill patternType="solid">
        <fgColor rgb="001A237E"/>
      </patternFill>
    </fill>
    <fill>
      <patternFill patternType="solid">
        <fgColor rgb="00E8EAF6"/>
      </patternFill>
    </fill>
    <fill>
      <patternFill patternType="solid">
        <fgColor rgb="004A148C"/>
      </patternFill>
    </fill>
    <fill>
      <patternFill patternType="solid">
        <fgColor rgb="00F3E5F5"/>
      </patternFill>
    </fill>
    <fill>
      <patternFill patternType="solid">
        <fgColor rgb="00F5F5F5"/>
      </patternFill>
    </fill>
    <fill>
      <patternFill patternType="solid">
        <fgColor rgb="00D1F5EE"/>
      </patternFill>
    </fill>
    <fill>
      <patternFill patternType="solid">
        <fgColor rgb="00FFF8E1"/>
      </patternFill>
    </fill>
    <fill>
      <patternFill patternType="solid">
        <fgColor rgb="00FFE8E8"/>
      </patternFill>
    </fill>
  </fills>
  <borders count="7">
    <border>
      <left/>
      <right/>
      <top/>
      <bottom/>
      <diagonal/>
    </border>
    <border>
      <left style="medium">
        <color rgb="00F59E0B"/>
      </left>
      <right style="medium">
        <color rgb="00F59E0B"/>
      </right>
      <top style="medium">
        <color rgb="00F59E0B"/>
      </top>
      <bottom style="medium">
        <color rgb="00F59E0B"/>
      </bottom>
    </border>
    <border>
      <left style="thin">
        <color rgb="00007064"/>
      </left>
      <right style="thin">
        <color rgb="00007064"/>
      </right>
      <top style="thin">
        <color rgb="00007064"/>
      </top>
      <bottom style="thin">
        <color rgb="000070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07064"/>
      </left>
      <right style="medium">
        <color rgb="00007064"/>
      </right>
      <top style="medium">
        <color rgb="00007064"/>
      </top>
      <bottom style="medium">
        <color rgb="00007064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medium">
        <color rgb="00008C7E"/>
      </left>
      <right style="medium">
        <color rgb="00008C7E"/>
      </right>
      <top style="medium">
        <color rgb="00008C7E"/>
      </top>
      <bottom style="medium">
        <color rgb="00008C7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 readingOrder="2"/>
    </xf>
    <xf numFmtId="0" fontId="10" fillId="3" borderId="0" applyAlignment="1" pivotButton="0" quotePrefix="0" xfId="0">
      <alignment horizontal="center" vertical="center" wrapText="1" readingOrder="2"/>
    </xf>
    <xf numFmtId="0" fontId="2" fillId="3" borderId="0" applyAlignment="1" pivotButton="0" quotePrefix="0" xfId="0">
      <alignment horizontal="center" vertical="center" readingOrder="1"/>
    </xf>
    <xf numFmtId="0" fontId="5" fillId="4" borderId="0" applyAlignment="1" pivotButton="0" quotePrefix="0" xfId="0">
      <alignment horizontal="center" vertical="center" wrapText="1" readingOrder="2"/>
    </xf>
    <xf numFmtId="0" fontId="3" fillId="4" borderId="0" applyAlignment="1" pivotButton="0" quotePrefix="0" xfId="0">
      <alignment horizontal="center" vertical="center" wrapText="1" readingOrder="2"/>
    </xf>
    <xf numFmtId="0" fontId="6" fillId="7" borderId="5" applyAlignment="1" pivotButton="0" quotePrefix="0" xfId="0">
      <alignment horizontal="right" vertical="center" wrapText="1" readingOrder="2"/>
    </xf>
    <xf numFmtId="1" fontId="11" fillId="10" borderId="6" applyAlignment="1" pivotButton="0" quotePrefix="0" xfId="0">
      <alignment horizontal="center" vertical="center" wrapText="1" readingOrder="2"/>
    </xf>
    <xf numFmtId="0" fontId="4" fillId="5" borderId="1" applyAlignment="1" pivotButton="0" quotePrefix="0" xfId="0">
      <alignment horizontal="right" vertical="center" wrapText="1" readingOrder="2"/>
    </xf>
    <xf numFmtId="0" fontId="6" fillId="11" borderId="5" applyAlignment="1" pivotButton="0" quotePrefix="0" xfId="0">
      <alignment horizontal="right" vertical="center" wrapText="1" readingOrder="2"/>
    </xf>
    <xf numFmtId="1" fontId="12" fillId="12" borderId="6" applyAlignment="1" pivotButton="0" quotePrefix="0" xfId="0">
      <alignment horizontal="center" vertical="center" wrapText="1" readingOrder="2"/>
    </xf>
    <xf numFmtId="0" fontId="6" fillId="13" borderId="5" applyAlignment="1" pivotButton="0" quotePrefix="0" xfId="0">
      <alignment horizontal="right" vertical="center" wrapText="1" readingOrder="2"/>
    </xf>
    <xf numFmtId="1" fontId="13" fillId="14" borderId="6" applyAlignment="1" pivotButton="0" quotePrefix="0" xfId="0">
      <alignment horizontal="center" vertical="center" wrapText="1" readingOrder="2"/>
    </xf>
    <xf numFmtId="0" fontId="6" fillId="6" borderId="2" applyAlignment="1" pivotButton="0" quotePrefix="0" xfId="0">
      <alignment horizontal="right" vertical="center" wrapText="1" readingOrder="2"/>
    </xf>
    <xf numFmtId="0" fontId="6" fillId="6" borderId="2" applyAlignment="1" pivotButton="0" quotePrefix="0" xfId="0">
      <alignment horizontal="center" vertical="center" wrapText="1" readingOrder="2"/>
    </xf>
    <xf numFmtId="0" fontId="6" fillId="15" borderId="5" applyAlignment="1" pivotButton="0" quotePrefix="0" xfId="0">
      <alignment horizontal="right" vertical="center" wrapText="1" readingOrder="2"/>
    </xf>
    <xf numFmtId="1" fontId="14" fillId="16" borderId="6" applyAlignment="1" pivotButton="0" quotePrefix="0" xfId="0">
      <alignment horizontal="center" vertical="center" wrapText="1" readingOrder="2"/>
    </xf>
    <xf numFmtId="0" fontId="7" fillId="7" borderId="0" applyAlignment="1" pivotButton="0" quotePrefix="0" xfId="0">
      <alignment horizontal="right" vertical="center" wrapText="1" readingOrder="2"/>
    </xf>
    <xf numFmtId="0" fontId="7" fillId="3" borderId="4" applyAlignment="1" pivotButton="0" quotePrefix="0" xfId="0">
      <alignment horizontal="right" vertical="center" wrapText="1" readingOrder="2"/>
    </xf>
    <xf numFmtId="1" fontId="15" fillId="2" borderId="4" applyAlignment="1" pivotButton="0" quotePrefix="0" xfId="0">
      <alignment horizontal="center" vertical="center" wrapText="1" readingOrder="2"/>
    </xf>
    <xf numFmtId="0" fontId="8" fillId="8" borderId="3" applyAlignment="1" pivotButton="0" quotePrefix="0" xfId="0">
      <alignment horizontal="right" vertical="center" wrapText="1" readingOrder="2"/>
    </xf>
    <xf numFmtId="0" fontId="9" fillId="9" borderId="4" applyAlignment="1" pivotButton="0" quotePrefix="0" xfId="0">
      <alignment horizontal="center" vertical="center" wrapText="1" readingOrder="2"/>
    </xf>
    <xf numFmtId="0" fontId="8" fillId="10" borderId="3" applyAlignment="1" pivotButton="0" quotePrefix="0" xfId="0">
      <alignment horizontal="right" vertical="center" wrapText="1" readingOrder="2"/>
    </xf>
    <xf numFmtId="0" fontId="7" fillId="6" borderId="0" applyAlignment="1" pivotButton="0" quotePrefix="0" xfId="0">
      <alignment horizontal="center" vertical="center" wrapText="1" readingOrder="2"/>
    </xf>
    <xf numFmtId="0" fontId="16" fillId="4" borderId="4" applyAlignment="1" pivotButton="0" quotePrefix="0" xfId="0">
      <alignment horizontal="center" vertical="center" wrapText="1" readingOrder="2"/>
    </xf>
    <xf numFmtId="0" fontId="8" fillId="17" borderId="5" applyAlignment="1" pivotButton="0" quotePrefix="0" xfId="0">
      <alignment horizontal="center" vertical="center" wrapText="1" readingOrder="2"/>
    </xf>
    <xf numFmtId="0" fontId="17" fillId="6" borderId="0" applyAlignment="1" pivotButton="0" quotePrefix="0" xfId="0">
      <alignment horizontal="center" vertical="center" wrapText="1" readingOrder="2"/>
    </xf>
    <xf numFmtId="0" fontId="7" fillId="11" borderId="0" applyAlignment="1" pivotButton="0" quotePrefix="0" xfId="0">
      <alignment horizontal="right" vertical="center" wrapText="1" readingOrder="2"/>
    </xf>
    <xf numFmtId="0" fontId="5" fillId="18" borderId="3" applyAlignment="1" pivotButton="0" quotePrefix="0" xfId="0">
      <alignment horizontal="center" vertical="center" wrapText="1" readingOrder="2"/>
    </xf>
    <xf numFmtId="0" fontId="18" fillId="19" borderId="3" applyAlignment="1" pivotButton="0" quotePrefix="0" xfId="0">
      <alignment horizontal="center" vertical="center" wrapText="1" readingOrder="2"/>
    </xf>
    <xf numFmtId="0" fontId="8" fillId="12" borderId="3" applyAlignment="1" pivotButton="0" quotePrefix="0" xfId="0">
      <alignment horizontal="right" vertical="center" wrapText="1" readingOrder="2"/>
    </xf>
    <xf numFmtId="0" fontId="19" fillId="20" borderId="3" applyAlignment="1" pivotButton="0" quotePrefix="0" xfId="0">
      <alignment horizontal="center" vertical="center" wrapText="1" readingOrder="2"/>
    </xf>
    <xf numFmtId="0" fontId="20" fillId="17" borderId="0" applyAlignment="1" pivotButton="0" quotePrefix="0" xfId="0">
      <alignment horizontal="right" vertical="center" wrapText="1" readingOrder="1"/>
    </xf>
    <xf numFmtId="0" fontId="7" fillId="13" borderId="0" applyAlignment="1" pivotButton="0" quotePrefix="0" xfId="0">
      <alignment horizontal="right" vertical="center" wrapText="1" readingOrder="2"/>
    </xf>
    <xf numFmtId="0" fontId="8" fillId="14" borderId="3" applyAlignment="1" pivotButton="0" quotePrefix="0" xfId="0">
      <alignment horizontal="right" vertical="center" wrapText="1" readingOrder="2"/>
    </xf>
    <xf numFmtId="0" fontId="7" fillId="15" borderId="0" applyAlignment="1" pivotButton="0" quotePrefix="0" xfId="0">
      <alignment horizontal="right" vertical="center" wrapText="1" readingOrder="2"/>
    </xf>
    <xf numFmtId="0" fontId="8" fillId="16" borderId="3" applyAlignment="1" pivotButton="0" quotePrefix="0" xfId="0">
      <alignment horizontal="right" vertical="center" wrapText="1" readingOrder="2"/>
    </xf>
  </cellXfs>
  <cellStyles count="1">
    <cellStyle name="Normal" xfId="0" builtinId="0" hidden="0"/>
  </cellStyles>
  <dxfs count="7">
    <dxf>
      <font>
        <name val="Calibri"/>
        <b val="1"/>
        <color rgb="00005048"/>
        <sz val="14"/>
      </font>
      <fill>
        <patternFill patternType="solid">
          <fgColor rgb="00D1F5EE"/>
        </patternFill>
      </fill>
    </dxf>
    <dxf>
      <font>
        <name val="Calibri"/>
        <b val="1"/>
        <color rgb="007B5200"/>
        <sz val="14"/>
      </font>
      <fill>
        <patternFill patternType="solid">
          <fgColor rgb="00FFF8E1"/>
        </patternFill>
      </fill>
    </dxf>
    <dxf>
      <font>
        <name val="Calibri"/>
        <b val="1"/>
        <color rgb="008B0000"/>
        <sz val="14"/>
      </font>
      <fill>
        <patternFill patternType="solid">
          <fgColor rgb="00FFE8E8"/>
        </patternFill>
      </fill>
    </dxf>
    <dxf>
      <font>
        <name val="Calibri"/>
        <b val="1"/>
        <color rgb="00005048"/>
        <sz val="16"/>
      </font>
      <fill>
        <patternFill patternType="solid">
          <fgColor rgb="00D1F5EE"/>
        </patternFill>
      </fill>
    </dxf>
    <dxf>
      <font>
        <name val="Calibri"/>
        <b val="1"/>
        <color rgb="007B5200"/>
        <sz val="16"/>
      </font>
      <fill>
        <patternFill patternType="solid">
          <fgColor rgb="00FFF8E1"/>
        </patternFill>
      </fill>
    </dxf>
    <dxf>
      <font>
        <name val="Calibri"/>
        <b val="1"/>
        <color rgb="008B0000"/>
        <sz val="16"/>
      </font>
      <fill>
        <patternFill patternType="solid">
          <fgColor rgb="00FFE8E8"/>
        </patternFill>
      </fill>
    </dxf>
    <dxf>
      <font>
        <name val="Calibri"/>
        <b val="1"/>
        <color rgb="00007064"/>
        <sz val="13"/>
      </font>
      <fill>
        <patternFill patternType="solid">
          <fgColor rgb="00E0F7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3" customWidth="1" min="3" max="3"/>
    <col width="30" customWidth="1" min="4" max="4"/>
    <col width="14" customWidth="1" min="5" max="5"/>
  </cols>
  <sheetData>
    <row r="1" ht="30" customHeight="1">
      <c r="A1" s="1" t="inlineStr">
        <is>
          <t>مقياس التقرير الشخصي لقلق التواصل  (PRCA-24)</t>
        </is>
      </c>
      <c r="D1" s="2" t="inlineStr">
        <is>
          <t>📊  النتائج</t>
        </is>
      </c>
    </row>
    <row r="2" ht="18" customHeight="1">
      <c r="A2" s="3" t="inlineStr">
        <is>
          <t>Personal Report of Communication Apprehension</t>
        </is>
      </c>
      <c r="D2" s="4">
        <f>IF(COUNTA(B8,B9,B10,B11,B12,B13,B15,B16,B17,B18,B19,B20,B22,B23,B24,B25,B26,B27,B29,B30,B31,B32,B33,B34)=24,"✔ اكتملت الإجابات","⏳ أجب على جميع الأسئلة...")</f>
        <v/>
      </c>
    </row>
    <row r="3" ht="26" customHeight="1">
      <c r="A3" s="5" t="inlineStr">
        <is>
          <t>ترجمة: د. طالب العذبه  —  قناة اسمع، مملكة الخيزران</t>
        </is>
      </c>
      <c r="D3" s="6" t="inlineStr">
        <is>
          <t>المناقشات الجماعية</t>
        </is>
      </c>
      <c r="E3" s="7">
        <f>IF(COUNTA(B8,B10,B12,B9,B11,B13)=6, 18+(B9+B11+B13)-(B8+B10+B12), "")</f>
        <v/>
      </c>
    </row>
    <row r="4" ht="26" customHeight="1">
      <c r="A4" s="8" t="inlineStr">
        <is>
          <t>ملاحظة: هذا المقياس لا يتضمن الحديث مع أشخاص تعرفهم أو لك بهم علاقة وطيدة (كالأصدقاء المقربين والأقارب).</t>
        </is>
      </c>
      <c r="D4" s="9" t="inlineStr">
        <is>
          <t>الاجتماعات</t>
        </is>
      </c>
      <c r="E4" s="10">
        <f>IF(COUNTA(B15,B18,B19,B16,B17,B20)=6, 18+(B16+B17+B20)-(B15+B18+B19), "")</f>
        <v/>
      </c>
    </row>
    <row r="5" ht="26" customHeight="1">
      <c r="A5" s="4" t="inlineStr">
        <is>
          <t>١=أوافق بشدة    ٢=أوافق    ٣=محايد    ٤=لا أوافق    ٥=لا أوافق بشدة</t>
        </is>
      </c>
      <c r="D5" s="11" t="inlineStr">
        <is>
          <t>المحادثات الشخصية</t>
        </is>
      </c>
      <c r="E5" s="12">
        <f>IF(COUNTA(B22,B24,B27,B23,B25,B26)=6, 18+(B23+B25+B26)-(B22+B24+B27), "")</f>
        <v/>
      </c>
    </row>
    <row r="6" ht="26" customHeight="1">
      <c r="A6" s="13" t="inlineStr">
        <is>
          <t>العبارة</t>
        </is>
      </c>
      <c r="B6" s="14" t="inlineStr">
        <is>
          <t>إجابتك</t>
        </is>
      </c>
      <c r="D6" s="15" t="inlineStr">
        <is>
          <t>الخطابة أمام الجمهور</t>
        </is>
      </c>
      <c r="E6" s="16">
        <f>IF(COUNTA(B30,B32,B34,B29,B31,B33)=6, 18+(B29+B31+B33)-(B30+B32+B34), "")</f>
        <v/>
      </c>
    </row>
    <row r="7" ht="30" customHeight="1">
      <c r="A7" s="17" t="inlineStr">
        <is>
          <t>◆ المناقشات الجماعية</t>
        </is>
      </c>
      <c r="D7" s="18" t="inlineStr">
        <is>
          <t>الدرجة الكلية  (24 – 120)</t>
        </is>
      </c>
      <c r="E7" s="19">
        <f>IF(AND(E3&lt;&gt;"",E4&lt;&gt;"",E5&lt;&gt;"",E6&lt;&gt;""),E3+E4+E5+E6,"")</f>
        <v/>
      </c>
    </row>
    <row r="8" ht="8" customHeight="1">
      <c r="A8" s="20" t="inlineStr">
        <is>
          <t>1.  لا أحب المشاركة في المناقشات الجماعية.</t>
        </is>
      </c>
      <c r="B8" s="21" t="n"/>
    </row>
    <row r="9" ht="22" customHeight="1">
      <c r="A9" s="22" t="inlineStr">
        <is>
          <t>2.  بشكل عام، أشعر بالراحة عند المشاركة في المناقشات الجماعية.</t>
        </is>
      </c>
      <c r="B9" s="21" t="n"/>
      <c r="D9" s="23" t="inlineStr">
        <is>
          <t>تفسير النتيجة</t>
        </is>
      </c>
    </row>
    <row r="10" ht="30" customHeight="1">
      <c r="A10" s="20" t="inlineStr">
        <is>
          <t>3.  أشعر بالتوتر والقلق عند المشاركة في المناقشات الجماعية.</t>
        </is>
      </c>
      <c r="B10" s="21" t="n"/>
      <c r="D10" s="24">
        <f>IF(E7="","—",IF(E7&lt;51,"✅  قلق منخفض",IF(E7&lt;=80,"⚠️  قلق متوسط","🔴  قلق مرتفع")))</f>
        <v/>
      </c>
    </row>
    <row r="11" ht="58" customHeight="1">
      <c r="A11" s="22" t="inlineStr">
        <is>
          <t>4.  أحب الانخراط في المناقشات الجماعية.</t>
        </is>
      </c>
      <c r="B11" s="21" t="n"/>
      <c r="D11" s="25">
        <f>IF(E7="","أكمل إجابة الأسئلة لتظهر نتيجتك",IF(E7&lt;51,"تتمتع بثقة عالية في التواصل مع الآخرين. التواصل يُشكّل قوة لديك في مختلف المواقف.",IF(E7&lt;=80,"تقع ضمن النطاق الطبيعي. قد تشعر ببعض القلق في مواقف تواصلية معينة، لكن هذا طبيعي.","تجد صعوبة ملحوظة في التواصل. ينصح بالتدريب على مهارات التواصل الفعّال.")))</f>
        <v/>
      </c>
    </row>
    <row r="12" ht="8" customHeight="1">
      <c r="A12" s="20" t="inlineStr">
        <is>
          <t>5.  الانخراط في نقاش جماعي مع أشخاص جدد يجعلني متوتراً وقلقاً.</t>
        </is>
      </c>
      <c r="B12" s="21" t="n"/>
    </row>
    <row r="13" ht="20" customHeight="1">
      <c r="A13" s="22" t="inlineStr">
        <is>
          <t>6.  أشعر بالهدوء والارتياح عند المشاركة في المناقشات الجماعية.</t>
        </is>
      </c>
      <c r="B13" s="21" t="n"/>
      <c r="D13" s="26" t="inlineStr">
        <is>
          <t>مدى الدرجات الفرعية (كل محور 6–30)</t>
        </is>
      </c>
    </row>
    <row r="14" ht="20" customHeight="1">
      <c r="A14" s="27" t="inlineStr">
        <is>
          <t>◆ الاجتماعات</t>
        </is>
      </c>
      <c r="D14" s="28" t="inlineStr">
        <is>
          <t>6 – 17</t>
        </is>
      </c>
      <c r="E14" s="28" t="inlineStr">
        <is>
          <t>قلق منخفض</t>
        </is>
      </c>
    </row>
    <row r="15" ht="20" customHeight="1">
      <c r="A15" s="20" t="inlineStr">
        <is>
          <t>7.  بشكل عام، أشعر بالتوتر عندما يتعين علي المشاركة في اجتماع.</t>
        </is>
      </c>
      <c r="B15" s="21" t="n"/>
      <c r="D15" s="29" t="inlineStr">
        <is>
          <t>18 – 24</t>
        </is>
      </c>
      <c r="E15" s="29" t="inlineStr">
        <is>
          <t>قلق متوسط</t>
        </is>
      </c>
    </row>
    <row r="16" ht="20" customHeight="1">
      <c r="A16" s="30" t="inlineStr">
        <is>
          <t>8.  عادةً ما أشعر بالهدوء والارتياح أثناء المشاركة في الاجتماعات.</t>
        </is>
      </c>
      <c r="B16" s="21" t="n"/>
      <c r="D16" s="31" t="inlineStr">
        <is>
          <t>25 – 30</t>
        </is>
      </c>
      <c r="E16" s="31" t="inlineStr">
        <is>
          <t>قلق مرتفع</t>
        </is>
      </c>
    </row>
    <row r="17" ht="8" customHeight="1">
      <c r="A17" s="20" t="inlineStr">
        <is>
          <t>9.  أشعر بهدوء تام عند الطلب مني إبداء رأيي في اجتماع.</t>
        </is>
      </c>
      <c r="B17" s="21" t="n"/>
    </row>
    <row r="18" ht="28" customHeight="1">
      <c r="A18" s="30" t="inlineStr">
        <is>
          <t>10.  أخشى التعبير عن رأيي في الاجتماعات.</t>
        </is>
      </c>
      <c r="B18" s="21" t="n"/>
      <c r="D18" s="32" t="inlineStr">
        <is>
          <t>McCroskey, J. C. (2005). An introduction to rhetorical communication (9th ed.). Prentice Hall.</t>
        </is>
      </c>
    </row>
    <row r="19" ht="26" customHeight="1">
      <c r="A19" s="20" t="inlineStr">
        <is>
          <t>11.  التواصل في الاجتماعات يجعلني أشعر بعدم الارتياح عادةً.</t>
        </is>
      </c>
      <c r="B19" s="21" t="n"/>
    </row>
    <row r="20" ht="26" customHeight="1">
      <c r="A20" s="30" t="inlineStr">
        <is>
          <t>12.  أشعر بارتياح تام عند الإجابة على الأسئلة في الاجتماعات.</t>
        </is>
      </c>
      <c r="B20" s="21" t="n"/>
    </row>
    <row r="21" ht="22" customHeight="1">
      <c r="A21" s="33" t="inlineStr">
        <is>
          <t>◆ المحادثات الشخصية</t>
        </is>
      </c>
    </row>
    <row r="22" ht="26" customHeight="1">
      <c r="A22" s="20" t="inlineStr">
        <is>
          <t>13.  عند التحدث مع شخص جديد، أشعر بتوتر شديد.</t>
        </is>
      </c>
      <c r="B22" s="21" t="n"/>
    </row>
    <row r="23" ht="26" customHeight="1">
      <c r="A23" s="34" t="inlineStr">
        <is>
          <t>14.  لا أخشى التعبير عن رأيي في المحادثات.</t>
        </is>
      </c>
      <c r="B23" s="21" t="n"/>
    </row>
    <row r="24" ht="26" customHeight="1">
      <c r="A24" s="20" t="inlineStr">
        <is>
          <t>15.  في العادة، أشعر بتوتر شديد في المحادثات.</t>
        </is>
      </c>
      <c r="B24" s="21" t="n"/>
    </row>
    <row r="25" ht="26" customHeight="1">
      <c r="A25" s="34" t="inlineStr">
        <is>
          <t>16.  في العادة، أشعر بهدوء وارتياح تام في المحادثات.</t>
        </is>
      </c>
      <c r="B25" s="21" t="n"/>
    </row>
    <row r="26" ht="26" customHeight="1">
      <c r="A26" s="20" t="inlineStr">
        <is>
          <t>17.  عند التحدث مع شخص جديد، أشعر بارتياح كبير وعدم قلق.</t>
        </is>
      </c>
      <c r="B26" s="21" t="n"/>
    </row>
    <row r="27" ht="26" customHeight="1">
      <c r="A27" s="34" t="inlineStr">
        <is>
          <t>18.  أخشى التحدث بصوت عالٍ أو المبادرة بالكلام في المحادثات.</t>
        </is>
      </c>
      <c r="B27" s="21" t="n"/>
    </row>
    <row r="28" ht="22" customHeight="1">
      <c r="A28" s="35" t="inlineStr">
        <is>
          <t>◆ الخطابة والتحدث أمام الجمهور</t>
        </is>
      </c>
    </row>
    <row r="29" ht="26" customHeight="1">
      <c r="A29" s="20" t="inlineStr">
        <is>
          <t>19.  بشكل عام، لا أشعر بالخوف من إلقاء خطاب.</t>
        </is>
      </c>
      <c r="B29" s="21" t="n"/>
    </row>
    <row r="30" ht="26" customHeight="1">
      <c r="A30" s="36" t="inlineStr">
        <is>
          <t>20.  تشعر أجزاء من جسدي بالتوتر والتصلب أثناء إلقاء الخطاب.</t>
        </is>
      </c>
      <c r="B30" s="21" t="n"/>
    </row>
    <row r="31" ht="26" customHeight="1">
      <c r="A31" s="20" t="inlineStr">
        <is>
          <t>21.  أشعر بالارتياح وعدم القلق عند إلقاء الخطاب.</t>
        </is>
      </c>
      <c r="B31" s="21" t="n"/>
    </row>
    <row r="32" ht="26" customHeight="1">
      <c r="A32" s="36" t="inlineStr">
        <is>
          <t>22.  تصبح أفكاري مشوشة ومضطربة أثناء إلقاء الخطاب.</t>
        </is>
      </c>
      <c r="B32" s="21" t="n"/>
    </row>
    <row r="33" ht="26" customHeight="1">
      <c r="A33" s="20" t="inlineStr">
        <is>
          <t>23.  أواجه فرصة إلقاء الخطاب بثقة.</t>
        </is>
      </c>
      <c r="B33" s="21" t="n"/>
    </row>
    <row r="34" ht="26" customHeight="1">
      <c r="A34" s="36" t="inlineStr">
        <is>
          <t>24.  أثناء الخطاب، أصاب بتوتر شديد حتى أنسى معلومات وحقائق أعرفها جيداً.</t>
        </is>
      </c>
      <c r="B34" s="21" t="n"/>
    </row>
  </sheetData>
  <mergeCells count="17">
    <mergeCell ref="A4:B4"/>
    <mergeCell ref="A21:B21"/>
    <mergeCell ref="A2:B2"/>
    <mergeCell ref="D10:E10"/>
    <mergeCell ref="A7:B7"/>
    <mergeCell ref="D2:E2"/>
    <mergeCell ref="D1:E1"/>
    <mergeCell ref="D11:E11"/>
    <mergeCell ref="D13:E13"/>
    <mergeCell ref="D7"/>
    <mergeCell ref="A5:B5"/>
    <mergeCell ref="A28:B28"/>
    <mergeCell ref="A14:B14"/>
    <mergeCell ref="A1:B1"/>
    <mergeCell ref="D18:E18"/>
    <mergeCell ref="D9:E9"/>
    <mergeCell ref="A3:B3"/>
  </mergeCells>
  <conditionalFormatting sqref="D10:E10">
    <cfRule type="cellIs" priority="1" operator="between" dxfId="0">
      <formula>0</formula>
      <formula>50</formula>
    </cfRule>
    <cfRule type="cellIs" priority="2" operator="between" dxfId="1">
      <formula>51</formula>
      <formula>80</formula>
    </cfRule>
    <cfRule type="cellIs" priority="3" operator="greaterThan" dxfId="2">
      <formula>80</formula>
    </cfRule>
  </conditionalFormatting>
  <conditionalFormatting sqref="E7">
    <cfRule type="cellIs" priority="4" operator="between" dxfId="3">
      <formula>0</formula>
      <formula>50</formula>
    </cfRule>
    <cfRule type="cellIs" priority="5" operator="between" dxfId="4">
      <formula>51</formula>
      <formula>80</formula>
    </cfRule>
    <cfRule type="cellIs" priority="6" operator="greaterThan" dxfId="5">
      <formula>80</formula>
    </cfRule>
  </conditionalFormatting>
  <conditionalFormatting sqref="B8:B34">
    <cfRule type="cellIs" priority="7" operator="between" dxfId="6">
      <formula>1</formula>
      <formula>5</formula>
    </cfRule>
  </conditionalFormatting>
  <dataValidations count="1">
    <dataValidation sqref="B7:B35" showDropDown="0" showInputMessage="0" showErrorMessage="0" allowBlank="0" errorTitle="خطأ في الإدخال" error="أدخل رقماً من 1 إلى 5 فقط" promptTitle="درجة الإجابة" prompt="اكتب: 1=أوافق بشدة  2=أوافق  3=محايد  4=لا أوافق  5=لا أوافق بشدة" type="whole" operator="between">
      <formula1>1</formula1>
      <formula2>5</formula2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2026-06-06T15:36:21Z</dcterms:created>
  <dcterms:modified xmlns:dcterms="http://purl.org/dc/terms/" xmlns:xsi="http://www.w3.org/2001/XMLSchema-instance" xsi:type="dcterms:W3CDTF">2026-06-06T15:36:21Z</dcterms:modified>
</cp:coreProperties>
</file>